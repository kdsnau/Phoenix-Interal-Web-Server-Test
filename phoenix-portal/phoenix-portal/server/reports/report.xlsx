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AppData\Local\Temp\"/>
    </mc:Choice>
  </mc:AlternateContent>
  <xr:revisionPtr revIDLastSave="0" documentId="13_ncr:1_{A34F0D08-3F93-4BD2-B74E-13F10F749EA2}" xr6:coauthVersionLast="47" xr6:coauthVersionMax="47" xr10:uidLastSave="{00000000-0000-0000-0000-000000000000}"/>
  <bookViews>
    <workbookView xWindow="390" yWindow="390" windowWidth="21600" windowHeight="11235" xr2:uid="{D723100C-86C5-44A0-BC13-211E594E38C0}"/>
  </bookViews>
  <sheets>
    <sheet name="Sheet1" sheetId="1" r:id="rId1"/>
  </sheets>
  <definedNames>
    <definedName name="_xlnm.Print_Titles" localSheetId="0">Sheet1!$A:$D,Sheet1!$1:$1</definedName>
    <definedName name="QBCANSUPPORTUPDATE" localSheetId="0">FALSE</definedName>
    <definedName name="QBCOMPANYFILENAME" localSheetId="0">"\\JUPITER\Quickbooks Company File\2013 phoenix surveillance, llc.qbw"</definedName>
    <definedName name="QBENDDATE" localSheetId="0">20260526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"74ee933cde1c434a9574720c7476ae78"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61</definedName>
    <definedName name="QBROWHEADERS" localSheetId="0">4</definedName>
    <definedName name="QBSTARTDATE" localSheetId="0">20260101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1" i="1" l="1"/>
  <c r="S40" i="1"/>
  <c r="S39" i="1"/>
  <c r="S38" i="1"/>
  <c r="S34" i="1"/>
  <c r="S28" i="1"/>
  <c r="S10" i="1"/>
</calcChain>
</file>

<file path=xl/sharedStrings.xml><?xml version="1.0" encoding="utf-8"?>
<sst xmlns="http://schemas.openxmlformats.org/spreadsheetml/2006/main" count="147" uniqueCount="89">
  <si>
    <t>Type</t>
  </si>
  <si>
    <t>Date</t>
  </si>
  <si>
    <t>Num</t>
  </si>
  <si>
    <t>Name</t>
  </si>
  <si>
    <t>Memo</t>
  </si>
  <si>
    <t>Split</t>
  </si>
  <si>
    <t>Amount</t>
  </si>
  <si>
    <t>Automobile Expense</t>
  </si>
  <si>
    <t>Maintenance &amp; Repair</t>
  </si>
  <si>
    <t>NV 200-B</t>
  </si>
  <si>
    <t>Total NV 200-B</t>
  </si>
  <si>
    <t>2018 Nissan Frontier</t>
  </si>
  <si>
    <t>Total 2018 Nissan Frontier</t>
  </si>
  <si>
    <t>Scissor Lift R&amp;M</t>
  </si>
  <si>
    <t>Total Scissor Lift R&amp;M</t>
  </si>
  <si>
    <t>2017 NV200</t>
  </si>
  <si>
    <t>Total 2017 NV200</t>
  </si>
  <si>
    <t>Maintenance &amp; Repair - Other</t>
  </si>
  <si>
    <t>Total Maintenance &amp; Repair - Other</t>
  </si>
  <si>
    <t>Total Maintenance &amp; Repair</t>
  </si>
  <si>
    <t>Total Automobile Expense</t>
  </si>
  <si>
    <t>TOTAL</t>
  </si>
  <si>
    <t>Credit Card Charge</t>
  </si>
  <si>
    <t>Bill</t>
  </si>
  <si>
    <t>Check</t>
  </si>
  <si>
    <t>Charge</t>
  </si>
  <si>
    <t>27958294730</t>
  </si>
  <si>
    <t>808082</t>
  </si>
  <si>
    <t>Zelle</t>
  </si>
  <si>
    <t>Truck Repair 2026</t>
  </si>
  <si>
    <t>22786015</t>
  </si>
  <si>
    <t>6171-313974</t>
  </si>
  <si>
    <t>024616619</t>
  </si>
  <si>
    <t>3708</t>
  </si>
  <si>
    <t>01522G</t>
  </si>
  <si>
    <t>4541702</t>
  </si>
  <si>
    <t>N4V0JTY5Q</t>
  </si>
  <si>
    <t>02517054</t>
  </si>
  <si>
    <t>3216211</t>
  </si>
  <si>
    <t>374-T000009</t>
  </si>
  <si>
    <t>5081809700</t>
  </si>
  <si>
    <t>9933827</t>
  </si>
  <si>
    <t>5064504229</t>
  </si>
  <si>
    <t>Take 5</t>
  </si>
  <si>
    <t>Mr. Glass Works</t>
  </si>
  <si>
    <t>Circle K Stores</t>
  </si>
  <si>
    <t>Napa</t>
  </si>
  <si>
    <t>Love's</t>
  </si>
  <si>
    <t>Laura Xua</t>
  </si>
  <si>
    <t>Mufflers &amp; Radiators Express</t>
  </si>
  <si>
    <t>Brake Masters</t>
  </si>
  <si>
    <t>Discount Tire</t>
  </si>
  <si>
    <t>O'reilly Auto Parts</t>
  </si>
  <si>
    <t>FridayPart</t>
  </si>
  <si>
    <t>RSW Parts</t>
  </si>
  <si>
    <t>The Home Depot</t>
  </si>
  <si>
    <t>Harbor Freight Tools</t>
  </si>
  <si>
    <t>Amazon.com</t>
  </si>
  <si>
    <t>PIRTEK</t>
  </si>
  <si>
    <t>Hermanos Tires</t>
  </si>
  <si>
    <t>ME had to get an oil chage for ZV</t>
  </si>
  <si>
    <t>200B Windshield</t>
  </si>
  <si>
    <t>ZV 11.924 gals of gas</t>
  </si>
  <si>
    <t>Wrench and Max life ZV</t>
  </si>
  <si>
    <t>Oil for 200B</t>
  </si>
  <si>
    <t>Reimburse LX for disgnostice at Brake Masters</t>
  </si>
  <si>
    <t>Catalytic converter 2026</t>
  </si>
  <si>
    <t>The last time we repair</t>
  </si>
  <si>
    <t>2 new tires</t>
  </si>
  <si>
    <t>Windshield wiper blades</t>
  </si>
  <si>
    <t>Control Box for the lift</t>
  </si>
  <si>
    <t>Wheel or tire for the lift</t>
  </si>
  <si>
    <t>Carlyle Spocket 1.75</t>
  </si>
  <si>
    <t>Pins and power cords</t>
  </si>
  <si>
    <t>3 new Wheels for the lift</t>
  </si>
  <si>
    <t>Bolt Wheel puller set  Lifetime guarantee DC and Lift</t>
  </si>
  <si>
    <t>Zip ties</t>
  </si>
  <si>
    <t>hoses</t>
  </si>
  <si>
    <t>tire for the trailer</t>
  </si>
  <si>
    <t>Dc got a nail in his tire</t>
  </si>
  <si>
    <t>Foam to block the back</t>
  </si>
  <si>
    <t>Car play Android</t>
  </si>
  <si>
    <t>DC needed a replacement tire</t>
  </si>
  <si>
    <t>Winshield for trip to Blythe where it was hit by a rock LX 28302853450</t>
  </si>
  <si>
    <t>2 tires for Alpha Tesla</t>
  </si>
  <si>
    <t>Chase Ink 1191</t>
  </si>
  <si>
    <t>Accounts Payable</t>
  </si>
  <si>
    <t>Chase Ink 2597</t>
  </si>
  <si>
    <t>Chase Checking 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</si>
</sst>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0" xfId="0" applyNumberFormat="1" applyFont="1" applyBorder="1"/>
    <xf numFmtId="165" fontId="2" fillId="0" borderId="3" xfId="0" applyNumberFormat="1" applyFont="1" applyBorder="1"/>
    <xf numFmtId="165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7B33-BFDE-413C-AB9E-20DFC7CC88A3}">
  <dimension ref="A1:S42"/>
  <sheetViews>
    <sheetView tabSelected="1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3" style="15" customWidth="1"/>
    <col min="4" max="4" width="25.5703125" style="15" customWidth="1"/>
    <col min="5" max="6" width="2.28515625" style="15" customWidth="1"/>
    <col min="7" max="7" width="14.28515625" style="15" bestFit="1" customWidth="1"/>
    <col min="8" max="8" width="2.28515625" style="15" customWidth="1"/>
    <col min="9" max="9" width="8.7109375" style="15" bestFit="1" customWidth="1"/>
    <col min="10" max="10" width="2.28515625" style="15" customWidth="1"/>
    <col min="11" max="11" width="13.7109375" style="15" bestFit="1" customWidth="1"/>
    <col min="12" max="12" width="2.28515625" style="15" customWidth="1"/>
    <col min="13" max="13" width="21.7109375" style="15" bestFit="1" customWidth="1"/>
    <col min="14" max="14" width="2.28515625" style="15" customWidth="1"/>
    <col min="15" max="15" width="30.7109375" style="15" customWidth="1"/>
    <col min="16" max="16" width="2.28515625" style="15" customWidth="1"/>
    <col min="17" max="17" width="16.140625" style="15" bestFit="1" customWidth="1"/>
    <col min="18" max="18" width="2.28515625" style="15" customWidth="1"/>
    <col min="19" max="19" width="7.28515625" style="15" bestFit="1" customWidth="1"/>
  </cols>
  <sheetData>
    <row r="1" spans="1:19" s="14" customFormat="1" ht="15.75" thickBot="1" x14ac:dyDescent="0.3">
      <c r="A1" s="12"/>
      <c r="B1" s="12"/>
      <c r="C1" s="12"/>
      <c r="D1" s="12"/>
      <c r="E1" s="12"/>
      <c r="F1" s="12"/>
      <c r="G1" s="13" t="s">
        <v>0</v>
      </c>
      <c r="H1" s="12"/>
      <c r="I1" s="13" t="s">
        <v>1</v>
      </c>
      <c r="J1" s="12"/>
      <c r="K1" s="13" t="s">
        <v>2</v>
      </c>
      <c r="L1" s="12"/>
      <c r="M1" s="13" t="s">
        <v>3</v>
      </c>
      <c r="N1" s="12"/>
      <c r="O1" s="13" t="s">
        <v>4</v>
      </c>
      <c r="P1" s="12"/>
      <c r="Q1" s="13" t="s">
        <v>5</v>
      </c>
      <c r="R1" s="12"/>
      <c r="S1" s="13" t="s">
        <v>6</v>
      </c>
    </row>
    <row r="2" spans="1:19" ht="15.75" thickTop="1" x14ac:dyDescent="0.25">
      <c r="A2" s="1"/>
      <c r="B2" s="1" t="s">
        <v>7</v>
      </c>
      <c r="C2" s="1"/>
      <c r="D2" s="1"/>
      <c r="E2" s="1"/>
      <c r="F2" s="1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3"/>
    </row>
    <row r="3" spans="1:19" x14ac:dyDescent="0.25">
      <c r="A3" s="1"/>
      <c r="B3" s="1"/>
      <c r="C3" s="1" t="s">
        <v>8</v>
      </c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3"/>
    </row>
    <row r="4" spans="1:19" x14ac:dyDescent="0.25">
      <c r="A4" s="1"/>
      <c r="B4" s="1"/>
      <c r="C4" s="1"/>
      <c r="D4" s="1" t="s">
        <v>9</v>
      </c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3"/>
    </row>
    <row r="5" spans="1:19" x14ac:dyDescent="0.25">
      <c r="A5" s="4"/>
      <c r="B5" s="4"/>
      <c r="C5" s="4"/>
      <c r="D5" s="4"/>
      <c r="E5" s="4"/>
      <c r="F5" s="4"/>
      <c r="G5" s="4" t="s">
        <v>22</v>
      </c>
      <c r="H5" s="4"/>
      <c r="I5" s="5">
        <v>46034</v>
      </c>
      <c r="J5" s="4"/>
      <c r="K5" s="4" t="s">
        <v>25</v>
      </c>
      <c r="L5" s="4"/>
      <c r="M5" s="4" t="s">
        <v>43</v>
      </c>
      <c r="N5" s="4"/>
      <c r="O5" s="4" t="s">
        <v>60</v>
      </c>
      <c r="P5" s="4"/>
      <c r="Q5" s="4" t="s">
        <v>85</v>
      </c>
      <c r="R5" s="4"/>
      <c r="S5" s="6">
        <v>33.96</v>
      </c>
    </row>
    <row r="6" spans="1:19" x14ac:dyDescent="0.25">
      <c r="A6" s="4"/>
      <c r="B6" s="4"/>
      <c r="C6" s="4"/>
      <c r="D6" s="4"/>
      <c r="E6" s="4"/>
      <c r="F6" s="4"/>
      <c r="G6" s="4" t="s">
        <v>23</v>
      </c>
      <c r="H6" s="4"/>
      <c r="I6" s="5">
        <v>46057</v>
      </c>
      <c r="J6" s="4"/>
      <c r="K6" s="4" t="s">
        <v>26</v>
      </c>
      <c r="L6" s="4"/>
      <c r="M6" s="4" t="s">
        <v>44</v>
      </c>
      <c r="N6" s="4"/>
      <c r="O6" s="4" t="s">
        <v>61</v>
      </c>
      <c r="P6" s="4"/>
      <c r="Q6" s="4" t="s">
        <v>86</v>
      </c>
      <c r="R6" s="4"/>
      <c r="S6" s="6">
        <v>378.35</v>
      </c>
    </row>
    <row r="7" spans="1:19" x14ac:dyDescent="0.25">
      <c r="A7" s="4"/>
      <c r="B7" s="4"/>
      <c r="C7" s="4"/>
      <c r="D7" s="4"/>
      <c r="E7" s="4"/>
      <c r="F7" s="4"/>
      <c r="G7" s="4" t="s">
        <v>22</v>
      </c>
      <c r="H7" s="4"/>
      <c r="I7" s="5">
        <v>46101</v>
      </c>
      <c r="J7" s="4"/>
      <c r="K7" s="4" t="s">
        <v>25</v>
      </c>
      <c r="L7" s="4"/>
      <c r="M7" s="4" t="s">
        <v>45</v>
      </c>
      <c r="N7" s="4"/>
      <c r="O7" s="4" t="s">
        <v>62</v>
      </c>
      <c r="P7" s="4"/>
      <c r="Q7" s="4" t="s">
        <v>85</v>
      </c>
      <c r="R7" s="4"/>
      <c r="S7" s="6">
        <v>57.22</v>
      </c>
    </row>
    <row r="8" spans="1:19" x14ac:dyDescent="0.25">
      <c r="A8" s="4"/>
      <c r="B8" s="4"/>
      <c r="C8" s="4"/>
      <c r="D8" s="4"/>
      <c r="E8" s="4"/>
      <c r="F8" s="4"/>
      <c r="G8" s="4" t="s">
        <v>22</v>
      </c>
      <c r="H8" s="4"/>
      <c r="I8" s="5">
        <v>46149</v>
      </c>
      <c r="J8" s="4"/>
      <c r="K8" s="4" t="s">
        <v>27</v>
      </c>
      <c r="L8" s="4"/>
      <c r="M8" s="4" t="s">
        <v>46</v>
      </c>
      <c r="N8" s="4"/>
      <c r="O8" s="4" t="s">
        <v>63</v>
      </c>
      <c r="P8" s="4"/>
      <c r="Q8" s="4" t="s">
        <v>87</v>
      </c>
      <c r="R8" s="4"/>
      <c r="S8" s="6">
        <v>56.16</v>
      </c>
    </row>
    <row r="9" spans="1:19" ht="15.75" thickBot="1" x14ac:dyDescent="0.3">
      <c r="A9" s="4"/>
      <c r="B9" s="4"/>
      <c r="C9" s="4"/>
      <c r="D9" s="4"/>
      <c r="E9" s="4"/>
      <c r="F9" s="4"/>
      <c r="G9" s="4" t="s">
        <v>22</v>
      </c>
      <c r="H9" s="4"/>
      <c r="I9" s="5">
        <v>46162</v>
      </c>
      <c r="J9" s="4"/>
      <c r="K9" s="4" t="s">
        <v>25</v>
      </c>
      <c r="L9" s="4"/>
      <c r="M9" s="4" t="s">
        <v>47</v>
      </c>
      <c r="N9" s="4"/>
      <c r="O9" s="4" t="s">
        <v>64</v>
      </c>
      <c r="P9" s="4"/>
      <c r="Q9" s="4" t="s">
        <v>85</v>
      </c>
      <c r="R9" s="4"/>
      <c r="S9" s="7">
        <v>9.69</v>
      </c>
    </row>
    <row r="10" spans="1:19" x14ac:dyDescent="0.25">
      <c r="A10" s="4"/>
      <c r="B10" s="4"/>
      <c r="C10" s="4"/>
      <c r="D10" s="4" t="s">
        <v>10</v>
      </c>
      <c r="E10" s="4"/>
      <c r="F10" s="4"/>
      <c r="G10" s="4"/>
      <c r="H10" s="4"/>
      <c r="I10" s="5"/>
      <c r="J10" s="4"/>
      <c r="K10" s="4"/>
      <c r="L10" s="4"/>
      <c r="M10" s="4"/>
      <c r="N10" s="4"/>
      <c r="O10" s="4"/>
      <c r="P10" s="4"/>
      <c r="Q10" s="4"/>
      <c r="R10" s="4"/>
      <c r="S10" s="6">
        <f>ROUND(SUM(S4:S9),5)</f>
        <v>535.38</v>
      </c>
    </row>
    <row r="11" spans="1:19" x14ac:dyDescent="0.25">
      <c r="A11" s="1"/>
      <c r="B11" s="1"/>
      <c r="C11" s="1"/>
      <c r="D11" s="1" t="s">
        <v>11</v>
      </c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3"/>
    </row>
    <row r="12" spans="1:19" x14ac:dyDescent="0.25">
      <c r="A12" s="4"/>
      <c r="B12" s="4"/>
      <c r="C12" s="4"/>
      <c r="D12" s="4"/>
      <c r="E12" s="4"/>
      <c r="F12" s="4"/>
      <c r="G12" s="4" t="s">
        <v>24</v>
      </c>
      <c r="H12" s="4"/>
      <c r="I12" s="5">
        <v>46036</v>
      </c>
      <c r="J12" s="4"/>
      <c r="K12" s="4" t="s">
        <v>28</v>
      </c>
      <c r="L12" s="4"/>
      <c r="M12" s="4" t="s">
        <v>48</v>
      </c>
      <c r="N12" s="4"/>
      <c r="O12" s="4" t="s">
        <v>65</v>
      </c>
      <c r="P12" s="4"/>
      <c r="Q12" s="4" t="s">
        <v>88</v>
      </c>
      <c r="R12" s="4"/>
      <c r="S12" s="6">
        <v>186.46</v>
      </c>
    </row>
    <row r="13" spans="1:19" x14ac:dyDescent="0.25">
      <c r="A13" s="4"/>
      <c r="B13" s="4"/>
      <c r="C13" s="4"/>
      <c r="D13" s="4"/>
      <c r="E13" s="4"/>
      <c r="F13" s="4"/>
      <c r="G13" s="4" t="s">
        <v>23</v>
      </c>
      <c r="H13" s="4"/>
      <c r="I13" s="5">
        <v>46041</v>
      </c>
      <c r="J13" s="4"/>
      <c r="K13" s="4" t="s">
        <v>29</v>
      </c>
      <c r="L13" s="4"/>
      <c r="M13" s="4" t="s">
        <v>49</v>
      </c>
      <c r="N13" s="4"/>
      <c r="O13" s="4" t="s">
        <v>66</v>
      </c>
      <c r="P13" s="4"/>
      <c r="Q13" s="4" t="s">
        <v>86</v>
      </c>
      <c r="R13" s="4"/>
      <c r="S13" s="6">
        <v>790</v>
      </c>
    </row>
    <row r="14" spans="1:19" x14ac:dyDescent="0.25">
      <c r="A14" s="4"/>
      <c r="B14" s="4"/>
      <c r="C14" s="4"/>
      <c r="D14" s="4"/>
      <c r="E14" s="4"/>
      <c r="F14" s="4"/>
      <c r="G14" s="4" t="s">
        <v>22</v>
      </c>
      <c r="H14" s="4"/>
      <c r="I14" s="5">
        <v>46043</v>
      </c>
      <c r="J14" s="4"/>
      <c r="K14" s="4" t="s">
        <v>25</v>
      </c>
      <c r="L14" s="4"/>
      <c r="M14" s="4" t="s">
        <v>50</v>
      </c>
      <c r="N14" s="4"/>
      <c r="O14" s="4" t="s">
        <v>67</v>
      </c>
      <c r="P14" s="4"/>
      <c r="Q14" s="4" t="s">
        <v>85</v>
      </c>
      <c r="R14" s="4"/>
      <c r="S14" s="6">
        <v>1210.02</v>
      </c>
    </row>
    <row r="15" spans="1:19" x14ac:dyDescent="0.25">
      <c r="A15" s="4"/>
      <c r="B15" s="4"/>
      <c r="C15" s="4"/>
      <c r="D15" s="4"/>
      <c r="E15" s="4"/>
      <c r="F15" s="4"/>
      <c r="G15" s="4" t="s">
        <v>22</v>
      </c>
      <c r="H15" s="4"/>
      <c r="I15" s="5">
        <v>46066</v>
      </c>
      <c r="J15" s="4"/>
      <c r="K15" s="4" t="s">
        <v>30</v>
      </c>
      <c r="L15" s="4"/>
      <c r="M15" s="4" t="s">
        <v>51</v>
      </c>
      <c r="N15" s="4"/>
      <c r="O15" s="4" t="s">
        <v>68</v>
      </c>
      <c r="P15" s="4"/>
      <c r="Q15" s="4" t="s">
        <v>87</v>
      </c>
      <c r="R15" s="4"/>
      <c r="S15" s="6">
        <v>285.75</v>
      </c>
    </row>
    <row r="16" spans="1:19" ht="15.75" thickBot="1" x14ac:dyDescent="0.3">
      <c r="A16" s="4"/>
      <c r="B16" s="4"/>
      <c r="C16" s="4"/>
      <c r="D16" s="4"/>
      <c r="E16" s="4"/>
      <c r="F16" s="4"/>
      <c r="G16" s="4" t="s">
        <v>22</v>
      </c>
      <c r="H16" s="4"/>
      <c r="I16" s="5">
        <v>46066</v>
      </c>
      <c r="J16" s="4"/>
      <c r="K16" s="4" t="s">
        <v>31</v>
      </c>
      <c r="L16" s="4"/>
      <c r="M16" s="4" t="s">
        <v>52</v>
      </c>
      <c r="N16" s="4"/>
      <c r="O16" s="4" t="s">
        <v>69</v>
      </c>
      <c r="P16" s="4"/>
      <c r="Q16" s="4" t="s">
        <v>87</v>
      </c>
      <c r="R16" s="4"/>
      <c r="S16" s="7">
        <v>65.44</v>
      </c>
    </row>
    <row r="17" spans="1:19" x14ac:dyDescent="0.25">
      <c r="A17" s="4"/>
      <c r="B17" s="4"/>
      <c r="C17" s="4"/>
      <c r="D17" s="4" t="s">
        <v>12</v>
      </c>
      <c r="E17" s="4"/>
      <c r="F17" s="4"/>
      <c r="G17" s="4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6">
        <v>2537.67</v>
      </c>
    </row>
    <row r="18" spans="1:19" x14ac:dyDescent="0.25">
      <c r="A18" s="1"/>
      <c r="B18" s="1"/>
      <c r="C18" s="1"/>
      <c r="D18" s="1" t="s">
        <v>13</v>
      </c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3"/>
    </row>
    <row r="19" spans="1:19" x14ac:dyDescent="0.25">
      <c r="A19" s="4"/>
      <c r="B19" s="4"/>
      <c r="C19" s="4"/>
      <c r="D19" s="4"/>
      <c r="E19" s="4"/>
      <c r="F19" s="4"/>
      <c r="G19" s="4" t="s">
        <v>22</v>
      </c>
      <c r="H19" s="4"/>
      <c r="I19" s="5">
        <v>46057</v>
      </c>
      <c r="J19" s="4"/>
      <c r="K19" s="4" t="s">
        <v>32</v>
      </c>
      <c r="L19" s="4"/>
      <c r="M19" s="4" t="s">
        <v>53</v>
      </c>
      <c r="N19" s="4"/>
      <c r="O19" s="4" t="s">
        <v>70</v>
      </c>
      <c r="P19" s="4"/>
      <c r="Q19" s="4" t="s">
        <v>87</v>
      </c>
      <c r="R19" s="4"/>
      <c r="S19" s="6">
        <v>249.84</v>
      </c>
    </row>
    <row r="20" spans="1:19" x14ac:dyDescent="0.25">
      <c r="A20" s="4"/>
      <c r="B20" s="4"/>
      <c r="C20" s="4"/>
      <c r="D20" s="4"/>
      <c r="E20" s="4"/>
      <c r="F20" s="4"/>
      <c r="G20" s="4" t="s">
        <v>22</v>
      </c>
      <c r="H20" s="4"/>
      <c r="I20" s="5">
        <v>46062</v>
      </c>
      <c r="J20" s="4"/>
      <c r="K20" s="4" t="s">
        <v>33</v>
      </c>
      <c r="L20" s="4"/>
      <c r="M20" s="4" t="s">
        <v>54</v>
      </c>
      <c r="N20" s="4"/>
      <c r="O20" s="4" t="s">
        <v>71</v>
      </c>
      <c r="P20" s="4"/>
      <c r="Q20" s="4" t="s">
        <v>87</v>
      </c>
      <c r="R20" s="4"/>
      <c r="S20" s="6">
        <v>92.36</v>
      </c>
    </row>
    <row r="21" spans="1:19" x14ac:dyDescent="0.25">
      <c r="A21" s="4"/>
      <c r="B21" s="4"/>
      <c r="C21" s="4"/>
      <c r="D21" s="4"/>
      <c r="E21" s="4"/>
      <c r="F21" s="4"/>
      <c r="G21" s="4" t="s">
        <v>22</v>
      </c>
      <c r="H21" s="4"/>
      <c r="I21" s="5">
        <v>46077</v>
      </c>
      <c r="J21" s="4"/>
      <c r="K21" s="4" t="s">
        <v>34</v>
      </c>
      <c r="L21" s="4"/>
      <c r="M21" s="4" t="s">
        <v>46</v>
      </c>
      <c r="N21" s="4"/>
      <c r="O21" s="4" t="s">
        <v>72</v>
      </c>
      <c r="P21" s="4"/>
      <c r="Q21" s="4" t="s">
        <v>85</v>
      </c>
      <c r="R21" s="4"/>
      <c r="S21" s="6">
        <v>39.270000000000003</v>
      </c>
    </row>
    <row r="22" spans="1:19" x14ac:dyDescent="0.25">
      <c r="A22" s="4"/>
      <c r="B22" s="4"/>
      <c r="C22" s="4"/>
      <c r="D22" s="4"/>
      <c r="E22" s="4"/>
      <c r="F22" s="4"/>
      <c r="G22" s="4" t="s">
        <v>22</v>
      </c>
      <c r="H22" s="4"/>
      <c r="I22" s="5">
        <v>46105</v>
      </c>
      <c r="J22" s="4"/>
      <c r="K22" s="4" t="s">
        <v>35</v>
      </c>
      <c r="L22" s="4"/>
      <c r="M22" s="4" t="s">
        <v>55</v>
      </c>
      <c r="N22" s="4"/>
      <c r="O22" s="4" t="s">
        <v>73</v>
      </c>
      <c r="P22" s="4"/>
      <c r="Q22" s="4" t="s">
        <v>85</v>
      </c>
      <c r="R22" s="4"/>
      <c r="S22" s="6">
        <v>39.020000000000003</v>
      </c>
    </row>
    <row r="23" spans="1:19" x14ac:dyDescent="0.25">
      <c r="A23" s="4"/>
      <c r="B23" s="4"/>
      <c r="C23" s="4"/>
      <c r="D23" s="4"/>
      <c r="E23" s="4"/>
      <c r="F23" s="4"/>
      <c r="G23" s="4" t="s">
        <v>22</v>
      </c>
      <c r="H23" s="4"/>
      <c r="I23" s="5">
        <v>46106</v>
      </c>
      <c r="J23" s="4"/>
      <c r="K23" s="4" t="s">
        <v>36</v>
      </c>
      <c r="L23" s="4"/>
      <c r="M23" s="4" t="s">
        <v>54</v>
      </c>
      <c r="N23" s="4"/>
      <c r="O23" s="4" t="s">
        <v>74</v>
      </c>
      <c r="P23" s="4"/>
      <c r="Q23" s="4" t="s">
        <v>87</v>
      </c>
      <c r="R23" s="4"/>
      <c r="S23" s="6">
        <v>303.39999999999998</v>
      </c>
    </row>
    <row r="24" spans="1:19" x14ac:dyDescent="0.25">
      <c r="A24" s="4"/>
      <c r="B24" s="4"/>
      <c r="C24" s="4"/>
      <c r="D24" s="4"/>
      <c r="E24" s="4"/>
      <c r="F24" s="4"/>
      <c r="G24" s="4" t="s">
        <v>22</v>
      </c>
      <c r="H24" s="4"/>
      <c r="I24" s="5">
        <v>46115</v>
      </c>
      <c r="J24" s="4"/>
      <c r="K24" s="4" t="s">
        <v>37</v>
      </c>
      <c r="L24" s="4"/>
      <c r="M24" s="4" t="s">
        <v>56</v>
      </c>
      <c r="N24" s="4"/>
      <c r="O24" s="4" t="s">
        <v>75</v>
      </c>
      <c r="P24" s="4"/>
      <c r="Q24" s="4" t="s">
        <v>85</v>
      </c>
      <c r="R24" s="4"/>
      <c r="S24" s="6">
        <v>29.44</v>
      </c>
    </row>
    <row r="25" spans="1:19" x14ac:dyDescent="0.25">
      <c r="A25" s="4"/>
      <c r="B25" s="4"/>
      <c r="C25" s="4"/>
      <c r="D25" s="4"/>
      <c r="E25" s="4"/>
      <c r="F25" s="4"/>
      <c r="G25" s="4" t="s">
        <v>22</v>
      </c>
      <c r="H25" s="4"/>
      <c r="I25" s="5">
        <v>46149</v>
      </c>
      <c r="J25" s="4"/>
      <c r="K25" s="4" t="s">
        <v>38</v>
      </c>
      <c r="L25" s="4"/>
      <c r="M25" s="4" t="s">
        <v>57</v>
      </c>
      <c r="N25" s="4"/>
      <c r="O25" s="4" t="s">
        <v>76</v>
      </c>
      <c r="P25" s="4"/>
      <c r="Q25" s="4" t="s">
        <v>85</v>
      </c>
      <c r="R25" s="4"/>
      <c r="S25" s="6">
        <v>15.11</v>
      </c>
    </row>
    <row r="26" spans="1:19" x14ac:dyDescent="0.25">
      <c r="A26" s="4"/>
      <c r="B26" s="4"/>
      <c r="C26" s="4"/>
      <c r="D26" s="4"/>
      <c r="E26" s="4"/>
      <c r="F26" s="4"/>
      <c r="G26" s="4" t="s">
        <v>22</v>
      </c>
      <c r="H26" s="4"/>
      <c r="I26" s="5">
        <v>46149</v>
      </c>
      <c r="J26" s="4"/>
      <c r="K26" s="4" t="s">
        <v>39</v>
      </c>
      <c r="L26" s="4"/>
      <c r="M26" s="4" t="s">
        <v>58</v>
      </c>
      <c r="N26" s="4"/>
      <c r="O26" s="4" t="s">
        <v>77</v>
      </c>
      <c r="P26" s="4"/>
      <c r="Q26" s="4" t="s">
        <v>87</v>
      </c>
      <c r="R26" s="4"/>
      <c r="S26" s="6">
        <v>261.29000000000002</v>
      </c>
    </row>
    <row r="27" spans="1:19" ht="15.75" thickBot="1" x14ac:dyDescent="0.3">
      <c r="A27" s="4"/>
      <c r="B27" s="4"/>
      <c r="C27" s="4"/>
      <c r="D27" s="4"/>
      <c r="E27" s="4"/>
      <c r="F27" s="4"/>
      <c r="G27" s="4" t="s">
        <v>22</v>
      </c>
      <c r="H27" s="4"/>
      <c r="I27" s="5">
        <v>46153</v>
      </c>
      <c r="J27" s="4"/>
      <c r="K27" s="4" t="s">
        <v>25</v>
      </c>
      <c r="L27" s="4"/>
      <c r="M27" s="4" t="s">
        <v>59</v>
      </c>
      <c r="N27" s="4"/>
      <c r="O27" s="4" t="s">
        <v>78</v>
      </c>
      <c r="P27" s="4"/>
      <c r="Q27" s="4" t="s">
        <v>87</v>
      </c>
      <c r="R27" s="4"/>
      <c r="S27" s="7">
        <v>133.19999999999999</v>
      </c>
    </row>
    <row r="28" spans="1:19" x14ac:dyDescent="0.25">
      <c r="A28" s="4"/>
      <c r="B28" s="4"/>
      <c r="C28" s="4"/>
      <c r="D28" s="4" t="s">
        <v>14</v>
      </c>
      <c r="E28" s="4"/>
      <c r="F28" s="4"/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6">
        <f>ROUND(SUM(S18:S27),5)</f>
        <v>1162.93</v>
      </c>
    </row>
    <row r="29" spans="1:19" x14ac:dyDescent="0.25">
      <c r="A29" s="1"/>
      <c r="B29" s="1"/>
      <c r="C29" s="1"/>
      <c r="D29" s="1" t="s">
        <v>15</v>
      </c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3"/>
    </row>
    <row r="30" spans="1:19" x14ac:dyDescent="0.25">
      <c r="A30" s="4"/>
      <c r="B30" s="4"/>
      <c r="C30" s="4"/>
      <c r="D30" s="4"/>
      <c r="E30" s="4"/>
      <c r="F30" s="4"/>
      <c r="G30" s="4" t="s">
        <v>22</v>
      </c>
      <c r="H30" s="4"/>
      <c r="I30" s="5">
        <v>46062</v>
      </c>
      <c r="J30" s="4"/>
      <c r="K30" s="4" t="s">
        <v>40</v>
      </c>
      <c r="L30" s="4"/>
      <c r="M30" s="4" t="s">
        <v>51</v>
      </c>
      <c r="N30" s="4"/>
      <c r="O30" s="4" t="s">
        <v>79</v>
      </c>
      <c r="P30" s="4"/>
      <c r="Q30" s="4" t="s">
        <v>85</v>
      </c>
      <c r="R30" s="4"/>
      <c r="S30" s="6">
        <v>184.72</v>
      </c>
    </row>
    <row r="31" spans="1:19" x14ac:dyDescent="0.25">
      <c r="A31" s="4"/>
      <c r="B31" s="4"/>
      <c r="C31" s="4"/>
      <c r="D31" s="4"/>
      <c r="E31" s="4"/>
      <c r="F31" s="4"/>
      <c r="G31" s="4" t="s">
        <v>22</v>
      </c>
      <c r="H31" s="4"/>
      <c r="I31" s="5">
        <v>46085</v>
      </c>
      <c r="J31" s="4"/>
      <c r="K31" s="4" t="s">
        <v>25</v>
      </c>
      <c r="L31" s="4"/>
      <c r="M31" s="4" t="s">
        <v>57</v>
      </c>
      <c r="N31" s="4"/>
      <c r="O31" s="4" t="s">
        <v>80</v>
      </c>
      <c r="P31" s="4"/>
      <c r="Q31" s="4" t="s">
        <v>85</v>
      </c>
      <c r="R31" s="4"/>
      <c r="S31" s="6">
        <v>81.02</v>
      </c>
    </row>
    <row r="32" spans="1:19" x14ac:dyDescent="0.25">
      <c r="A32" s="4"/>
      <c r="B32" s="4"/>
      <c r="C32" s="4"/>
      <c r="D32" s="4"/>
      <c r="E32" s="4"/>
      <c r="F32" s="4"/>
      <c r="G32" s="4" t="s">
        <v>22</v>
      </c>
      <c r="H32" s="4"/>
      <c r="I32" s="5">
        <v>46104</v>
      </c>
      <c r="J32" s="4"/>
      <c r="K32" s="4" t="s">
        <v>41</v>
      </c>
      <c r="L32" s="4"/>
      <c r="M32" s="4" t="s">
        <v>57</v>
      </c>
      <c r="N32" s="4"/>
      <c r="O32" s="4" t="s">
        <v>81</v>
      </c>
      <c r="P32" s="4"/>
      <c r="Q32" s="4" t="s">
        <v>85</v>
      </c>
      <c r="R32" s="4"/>
      <c r="S32" s="6">
        <v>166.69</v>
      </c>
    </row>
    <row r="33" spans="1:19" ht="15.75" thickBot="1" x14ac:dyDescent="0.3">
      <c r="A33" s="4"/>
      <c r="B33" s="4"/>
      <c r="C33" s="4"/>
      <c r="D33" s="4"/>
      <c r="E33" s="4"/>
      <c r="F33" s="4"/>
      <c r="G33" s="4" t="s">
        <v>22</v>
      </c>
      <c r="H33" s="4"/>
      <c r="I33" s="5">
        <v>46134</v>
      </c>
      <c r="J33" s="4"/>
      <c r="K33" s="4" t="s">
        <v>25</v>
      </c>
      <c r="L33" s="4"/>
      <c r="M33" s="4" t="s">
        <v>51</v>
      </c>
      <c r="N33" s="4"/>
      <c r="O33" s="4" t="s">
        <v>82</v>
      </c>
      <c r="P33" s="4"/>
      <c r="Q33" s="4" t="s">
        <v>87</v>
      </c>
      <c r="R33" s="4"/>
      <c r="S33" s="7">
        <v>158.79</v>
      </c>
    </row>
    <row r="34" spans="1:19" x14ac:dyDescent="0.25">
      <c r="A34" s="4"/>
      <c r="B34" s="4"/>
      <c r="C34" s="4"/>
      <c r="D34" s="4" t="s">
        <v>16</v>
      </c>
      <c r="E34" s="4"/>
      <c r="F34" s="4"/>
      <c r="G34" s="4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6">
        <f>ROUND(SUM(S29:S33),5)</f>
        <v>591.22</v>
      </c>
    </row>
    <row r="35" spans="1:19" x14ac:dyDescent="0.25">
      <c r="A35" s="1"/>
      <c r="B35" s="1"/>
      <c r="C35" s="1"/>
      <c r="D35" s="1" t="s">
        <v>17</v>
      </c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3"/>
    </row>
    <row r="36" spans="1:19" x14ac:dyDescent="0.25">
      <c r="A36" s="4"/>
      <c r="B36" s="4"/>
      <c r="C36" s="4"/>
      <c r="D36" s="4"/>
      <c r="E36" s="4"/>
      <c r="F36" s="4"/>
      <c r="G36" s="4" t="s">
        <v>24</v>
      </c>
      <c r="H36" s="4"/>
      <c r="I36" s="5">
        <v>46085</v>
      </c>
      <c r="J36" s="4"/>
      <c r="K36" s="4" t="s">
        <v>28</v>
      </c>
      <c r="L36" s="4"/>
      <c r="M36" s="4" t="s">
        <v>44</v>
      </c>
      <c r="N36" s="4"/>
      <c r="O36" s="4" t="s">
        <v>83</v>
      </c>
      <c r="P36" s="4"/>
      <c r="Q36" s="4" t="s">
        <v>88</v>
      </c>
      <c r="R36" s="4"/>
      <c r="S36" s="6">
        <v>450</v>
      </c>
    </row>
    <row r="37" spans="1:19" ht="15.75" thickBot="1" x14ac:dyDescent="0.3">
      <c r="A37" s="4"/>
      <c r="B37" s="4"/>
      <c r="C37" s="4"/>
      <c r="D37" s="4"/>
      <c r="E37" s="4"/>
      <c r="F37" s="4"/>
      <c r="G37" s="4" t="s">
        <v>22</v>
      </c>
      <c r="H37" s="4"/>
      <c r="I37" s="5">
        <v>46085</v>
      </c>
      <c r="J37" s="4"/>
      <c r="K37" s="4" t="s">
        <v>42</v>
      </c>
      <c r="L37" s="4"/>
      <c r="M37" s="4" t="s">
        <v>51</v>
      </c>
      <c r="N37" s="4"/>
      <c r="O37" s="4" t="s">
        <v>84</v>
      </c>
      <c r="P37" s="4"/>
      <c r="Q37" s="4" t="s">
        <v>87</v>
      </c>
      <c r="R37" s="4"/>
      <c r="S37" s="8">
        <v>583.73</v>
      </c>
    </row>
    <row r="38" spans="1:19" ht="15.75" thickBot="1" x14ac:dyDescent="0.3">
      <c r="A38" s="4"/>
      <c r="B38" s="4"/>
      <c r="C38" s="4"/>
      <c r="D38" s="4" t="s">
        <v>18</v>
      </c>
      <c r="E38" s="4"/>
      <c r="F38" s="4"/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9">
        <f>ROUND(SUM(S35:S37),5)</f>
        <v>1033.73</v>
      </c>
    </row>
    <row r="39" spans="1:19" ht="15.75" thickBot="1" x14ac:dyDescent="0.3">
      <c r="A39" s="4"/>
      <c r="B39" s="4"/>
      <c r="C39" s="4" t="s">
        <v>19</v>
      </c>
      <c r="D39" s="4"/>
      <c r="E39" s="4"/>
      <c r="F39" s="4"/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9">
        <f>ROUND(S10+S17+S28+S34+S38,5)</f>
        <v>5860.93</v>
      </c>
    </row>
    <row r="40" spans="1:19" ht="15.75" thickBot="1" x14ac:dyDescent="0.3">
      <c r="A40" s="4"/>
      <c r="B40" s="4" t="s">
        <v>20</v>
      </c>
      <c r="C40" s="4"/>
      <c r="D40" s="4"/>
      <c r="E40" s="4"/>
      <c r="F40" s="4"/>
      <c r="G40" s="4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9">
        <f>S39</f>
        <v>5860.93</v>
      </c>
    </row>
    <row r="41" spans="1:19" s="11" customFormat="1" ht="12" thickBot="1" x14ac:dyDescent="0.25">
      <c r="A41" s="1" t="s">
        <v>21</v>
      </c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0">
        <f>S40</f>
        <v>5860.93</v>
      </c>
    </row>
    <row r="42" spans="1:19" ht="15.75" thickTop="1" x14ac:dyDescent="0.25"/>
  </sheetData>
  <pageMargins left="0.7" right="0.7" top="0.75" bottom="0.75" header="0.1" footer="0.3"/>
  <pageSetup orientation="portrait" r:id="rId1"/>
  <headerFooter>
    <oddHeader>&amp;L&amp;"Arial,Bold"&amp;8 10:57 AM
&amp;"Arial,Bold"&amp;8 05/26/26
&amp;"Arial,Bold"&amp;8 Accrual Basis&amp;C&amp;"Arial,Bold"&amp;12 Phoenix Surveillance, LLC
&amp;"Arial,Bold"&amp;14 Account QuickReport
&amp;"Arial,Bold"&amp;10 January 1 through May 26,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Mustafa</dc:creator>
  <cp:lastModifiedBy>Adam Mustafa</cp:lastModifiedBy>
  <dcterms:created xsi:type="dcterms:W3CDTF">2026-05-26T17:57:03Z</dcterms:created>
  <dcterms:modified xsi:type="dcterms:W3CDTF">2026-05-26T17:57:12Z</dcterms:modified>
</cp:coreProperties>
</file>